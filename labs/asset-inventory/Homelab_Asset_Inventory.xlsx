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3f7960765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05567b04d024a98"/>
    <x:sheet xmlns:r="http://schemas.openxmlformats.org/officeDocument/2006/relationships" name="Asset Register" sheetId="2" r:id="R8978e82769734e70"/>
    <x:sheet xmlns:r="http://schemas.openxmlformats.org/officeDocument/2006/relationships" name="Field Guide" sheetId="3" r:id="R6273d99e6328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0"/>
      <x:color rgb="FF855600"/>
      <x:name val="Carlito"/>
    </x:font>
    <x:font>
      <x:b/>
      <x:sz val="10"/>
      <x:color rgb="FFFFFFFF"/>
      <x:name val="Carlito"/>
    </x:font>
    <x:font>
      <x:b/>
      <x:sz val="21"/>
      <x:color rgb="FFFFFFFF"/>
      <x:name val="Carlito"/>
    </x:font>
    <x:font>
      <x:b/>
      <x:sz val="24"/>
      <x:color rgb="FF14264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color rgb="FF203247"/>
      <x:name val="Carlito"/>
    </x:font>
    <x:font>
      <x:i/>
      <x:sz val="10"/>
      <x:color rgb="FF66788A"/>
      <x:name val="Carlito"/>
    </x:font>
    <x:font>
      <x:b/>
      <x:sz val="17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640"/>
      </x:patternFill>
    </x:fill>
    <x:fill>
      <x:patternFill patternType="solid">
        <x:fgColor rgb="FFFFF1D6"/>
      </x:patternFill>
    </x:fill>
    <x:fill>
      <x:patternFill patternType="solid">
        <x:fgColor rgb="FF233D59"/>
      </x:patternFill>
    </x:fill>
    <x:fill>
      <x:patternFill patternType="solid">
        <x:fgColor rgb="FFF2F7FB"/>
      </x:patternFill>
    </x:fill>
    <x:fill>
      <x:patternFill patternType="solid">
        <x:fgColor rgb="FFE6F4FA"/>
      </x:patternFill>
    </x:fill>
    <x:fill>
      <x:patternFill patternType="solid">
        <x:fgColor rgb="FF087F8C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E3F5EB"/>
        </x:patternFill>
      </x:fill>
    </x:dxf>
    <x:dxf>
      <x:fill>
        <x:patternFill patternType="solid">
          <x:bgColor rgb="FFFFF0D6"/>
        </x:patternFill>
      </x:fill>
    </x:dxf>
    <x:dxf>
      <x:fill>
        <x:patternFill patternType="solid">
          <x:bgColor rgb="FFEBEFF4"/>
        </x:patternFill>
      </x:fill>
    </x:dxf>
    <x:dxf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57dcc76474b35" /><Relationship Type="http://schemas.openxmlformats.org/officeDocument/2006/relationships/theme" Target="/xl/theme/theme1.xml" Id="Rc997653312674590" /><Relationship Type="http://schemas.openxmlformats.org/officeDocument/2006/relationships/sharedStrings" Target="/xl/sharedStrings.xml" Id="Rc747f246ed07499f" /><Relationship Type="http://schemas.openxmlformats.org/officeDocument/2006/relationships/worksheet" Target="/xl/worksheets/sheet1.xml" Id="R205567b04d024a98" /><Relationship Type="http://schemas.openxmlformats.org/officeDocument/2006/relationships/worksheet" Target="/xl/worksheets/sheet2.xml" Id="R8978e82769734e70" /><Relationship Type="http://schemas.openxmlformats.org/officeDocument/2006/relationships/worksheet" Target="/xl/worksheets/sheet3.xml" Id="R6273d99e63284613" /></Relationships>
</file>

<file path=xl/tables/table1.xml><?xml version="1.0" encoding="utf-8"?>
<x:table xmlns:x="http://schemas.openxmlformats.org/spreadsheetml/2006/main" id="1" name="HomelabAssets" displayName="HomelabAssets" ref="A4:U11" headerRowCount="1" totalsRowCount="0" totalsRowShown="0">
  <x:tableColumns count="21">
    <x:tableColumn id="1" name="Asset ID"/>
    <x:tableColumn id="2" name="Hostname"/>
    <x:tableColumn id="3" name="Type"/>
    <x:tableColumn id="4" name="Vendor / Model"/>
    <x:tableColumn id="5" name="Serial Number"/>
    <x:tableColumn id="6" name="Rack"/>
    <x:tableColumn id="7" name="Start U"/>
    <x:tableColumn id="8" name="Height U"/>
    <x:tableColumn id="9" name="CPU"/>
    <x:tableColumn id="10" name="RAM (GB)"/>
    <x:tableColumn id="11" name="Storage"/>
    <x:tableColumn id="12" name="NIC / Ports"/>
    <x:tableColumn id="13" name="Mgmt Interface"/>
    <x:tableColumn id="14" name="Mgmt IP"/>
    <x:tableColumn id="15" name="Firmware / BIOS"/>
    <x:tableColumn id="16" name="OS / Hypervisor"/>
    <x:tableColumn id="17" name="Status"/>
    <x:tableColumn id="18" name="Owner"/>
    <x:tableColumn id="19" name="Last Verified"/>
    <x:tableColumn id="20" name="Environment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47f7b8d9a94298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2" hidden="0" customWidth="1"/>
    <x:col min="8" max="8" width="24" hidden="0" customWidth="1"/>
  </x:cols>
  <x:sheetData>
    <x:row r="1" ht="29" customHeight="1">
      <x:c r="A1" s="35" t="str">
        <x:v>HOMELAB  /  ASSET INVENTORY</x:v>
      </x:c>
      <x:c r="B1" s="35"/>
      <x:c r="C1" s="35"/>
      <x:c r="D1" s="35"/>
      <x:c r="E1" s="35"/>
      <x:c r="F1" s="35"/>
      <x:c r="G1" s="35"/>
      <x:c r="H1" s="35"/>
    </x:row>
    <x:row r="2" ht="29" customHeight="1">
      <x:c r="A2" s="35"/>
      <x:c r="B2" s="35"/>
      <x:c r="C2" s="35"/>
      <x:c r="D2" s="35"/>
      <x:c r="E2" s="35"/>
      <x:c r="F2" s="35"/>
      <x:c r="G2" s="35"/>
      <x:c r="H2" s="35"/>
    </x:row>
    <x:row r="3" ht="29" customHeight="1">
      <x:c r="A3" s="9" t="str">
        <x:v>PORTFOLIO EDITION  •  SYNTHETIC EXAMPLE DATA  •  Not a verified physical inventory</x:v>
      </x:c>
      <x:c r="B3" s="9"/>
      <x:c r="C3" s="9"/>
      <x:c r="D3" s="9"/>
      <x:c r="E3" s="9"/>
      <x:c r="F3" s="9"/>
      <x:c r="G3" s="9"/>
      <x:c r="H3" s="9"/>
    </x:row>
    <x:row r="5" ht="27" customHeight="1">
      <x:c r="A5" s="39" t="str">
        <x:v>TOTAL ASSETS</x:v>
      </x:c>
      <x:c r="B5" s="39"/>
      <x:c r="C5" s="39" t="str">
        <x:v>IN SERVICE</x:v>
      </x:c>
      <x:c r="D5" s="39"/>
      <x:c r="E5" s="39" t="str">
        <x:v>MAINTENANCE</x:v>
      </x:c>
      <x:c r="F5" s="39"/>
      <x:c r="G5" s="39" t="str">
        <x:v>RACK UNITS USED</x:v>
      </x:c>
      <x:c r="H5" s="39"/>
    </x:row>
    <x:row r="6" ht="25" customHeight="1">
      <x:c r="A6" s="45" t="n">
        <x:f>COUNTA('Asset Register'!A5:A250)</x:f>
        <x:v>7</x:v>
      </x:c>
      <x:c r="B6" s="45"/>
      <x:c r="C6" s="45" t="n">
        <x:f>COUNTIF('Asset Register'!Q5:Q250,"In Service")</x:f>
        <x:v>5</x:v>
      </x:c>
      <x:c r="D6" s="45"/>
      <x:c r="E6" s="45" t="n">
        <x:f>COUNTIF('Asset Register'!Q5:Q250,"Maintenance")</x:f>
        <x:v>1</x:v>
      </x:c>
      <x:c r="F6" s="45"/>
      <x:c r="G6" s="45" t="n">
        <x:f>SUM('Asset Register'!H5:H250)</x:f>
        <x:v>10</x:v>
      </x:c>
      <x:c r="H6" s="45"/>
    </x:row>
    <x:row r="7" ht="25" customHeight="1">
      <x:c r="A7" s="45"/>
      <x:c r="B7" s="45"/>
      <x:c r="C7" s="45"/>
      <x:c r="D7" s="45"/>
      <x:c r="E7" s="45"/>
      <x:c r="F7" s="45"/>
      <x:c r="G7" s="45"/>
      <x:c r="H7" s="45"/>
    </x:row>
    <x:row r="8" ht="25" customHeight="1">
      <x:c r="A8" s="45"/>
      <x:c r="B8" s="45"/>
      <x:c r="C8" s="45"/>
      <x:c r="D8" s="45"/>
      <x:c r="E8" s="45"/>
      <x:c r="F8" s="45"/>
      <x:c r="G8" s="45"/>
      <x:c r="H8" s="45"/>
    </x:row>
    <x:row r="10" ht="29" customHeight="1">
      <x:c r="A10" s="51" t="str">
        <x:v>LIFECYCLE STATUS</x:v>
      </x:c>
      <x:c r="B10" s="51"/>
      <x:c r="D10" s="51" t="str">
        <x:v>DEVICE CLASSES</x:v>
      </x:c>
      <x:c r="E10" s="51"/>
      <x:c r="G10" s="51" t="str">
        <x:v>PROJECT CONTROLS</x:v>
      </x:c>
      <x:c r="H10" s="51"/>
    </x:row>
    <x:row r="11" ht="27" customHeight="1">
      <x:c r="A11" s="54" t="str">
        <x:v>In Service</x:v>
      </x:c>
      <x:c r="B11" s="55" t="n">
        <x:f>COUNTIF('Asset Register'!$Q$5:$Q$250,A11)</x:f>
        <x:v>5</x:v>
      </x:c>
      <x:c r="C11" s="54"/>
      <x:c r="D11" s="54" t="str">
        <x:v>Server</x:v>
      </x:c>
      <x:c r="E11" s="55" t="n">
        <x:f>COUNTIF('Asset Register'!$C$5:$C$250,D11)</x:f>
        <x:v>3</x:v>
      </x:c>
      <x:c r="F11" s="54"/>
      <x:c r="G11" s="54" t="str">
        <x:v>Demo records</x:v>
      </x:c>
      <x:c r="H11" s="54" t="str">
        <x:v>YES</x:v>
      </x:c>
    </x:row>
    <x:row r="12" ht="27" customHeight="1">
      <x:c r="A12" s="54" t="str">
        <x:v>Maintenance</x:v>
      </x:c>
      <x:c r="B12" s="55" t="n">
        <x:f>COUNTIF('Asset Register'!$Q$5:$Q$250,A12)</x:f>
        <x:v>1</x:v>
      </x:c>
      <x:c r="C12" s="54"/>
      <x:c r="D12" s="54" t="str">
        <x:v>NAS</x:v>
      </x:c>
      <x:c r="E12" s="55" t="n">
        <x:f>COUNTIF('Asset Register'!$C$5:$C$250,D12)</x:f>
        <x:v>1</x:v>
      </x:c>
      <x:c r="F12" s="54"/>
      <x:c r="G12" s="54" t="str">
        <x:v>Live discovery</x:v>
      </x:c>
      <x:c r="H12" s="54" t="str">
        <x:v>NO</x:v>
      </x:c>
    </x:row>
    <x:row r="13" ht="27" customHeight="1">
      <x:c r="A13" s="54" t="str">
        <x:v>Spare</x:v>
      </x:c>
      <x:c r="B13" s="55" t="n">
        <x:f>COUNTIF('Asset Register'!$Q$5:$Q$250,A13)</x:f>
        <x:v>1</x:v>
      </x:c>
      <x:c r="C13" s="54"/>
      <x:c r="D13" s="54" t="str">
        <x:v>Switch</x:v>
      </x:c>
      <x:c r="E13" s="55" t="n">
        <x:f>COUNTIF('Asset Register'!$C$5:$C$250,D13)</x:f>
        <x:v>1</x:v>
      </x:c>
      <x:c r="F13" s="54"/>
      <x:c r="G13" s="54" t="str">
        <x:v>Rack conflict checks</x:v>
      </x:c>
      <x:c r="H13" s="54" t="str">
        <x:v>CLI validator</x:v>
      </x:c>
    </x:row>
    <x:row r="14" ht="27" customHeight="1">
      <x:c r="A14" s="54" t="str">
        <x:v>Retired</x:v>
      </x:c>
      <x:c r="B14" s="55" t="n">
        <x:f>COUNTIF('Asset Register'!$Q$5:$Q$250,A14)</x:f>
        <x:v>0</x:v>
      </x:c>
      <x:c r="C14" s="54"/>
      <x:c r="D14" s="54" t="str">
        <x:v>Firewall</x:v>
      </x:c>
      <x:c r="E14" s="55" t="n">
        <x:f>COUNTIF('Asset Register'!$C$5:$C$250,D14)</x:f>
        <x:v>1</x:v>
      </x:c>
      <x:c r="F14" s="54"/>
      <x:c r="G14" s="54" t="str">
        <x:v>Verification</x:v>
      </x:c>
      <x:c r="H14" s="54" t="str">
        <x:v>Demo only</x:v>
      </x:c>
    </x:row>
    <x:row r="15" ht="27" customHeight="1">
      <x:c r="A15" s="54"/>
      <x:c r="B15" s="54"/>
      <x:c r="C15" s="54"/>
      <x:c r="D15" s="54" t="str">
        <x:v>UPS</x:v>
      </x:c>
      <x:c r="E15" s="55" t="n">
        <x:f>COUNTIF('Asset Register'!$C$5:$C$250,D15)</x:f>
        <x:v>1</x:v>
      </x:c>
      <x:c r="F15" s="54"/>
      <x:c r="G15" s="54" t="str">
        <x:v>Data governance</x:v>
      </x:c>
      <x:c r="H15" s="54" t="str">
        <x:v>Private for real data</x:v>
      </x:c>
    </x:row>
    <x:row r="16" ht="27" customHeight="1">
      <x:c r="A16" s="54"/>
      <x:c r="B16" s="54"/>
      <x:c r="C16" s="54"/>
      <x:c r="D16" s="54" t="str">
        <x:v>Other</x:v>
      </x:c>
      <x:c r="E16" s="55" t="n">
        <x:f>COUNTIF('Asset Register'!$C$5:$C$250,D16)</x:f>
        <x:v>0</x:v>
      </x:c>
      <x:c r="F16" s="54"/>
      <x:c r="G16" s="54"/>
      <x:c r="H16" s="54"/>
    </x:row>
    <x:row r="19" ht="32" customHeight="1">
      <x:c r="A19" s="57" t="str">
        <x:v>WORKFLOW   01 • Record   →   02 • Verify   →   03 • Validate   →   04 • Review &amp; update</x:v>
      </x:c>
      <x:c r="B19" s="57"/>
      <x:c r="C19" s="57"/>
      <x:c r="D19" s="57"/>
      <x:c r="E19" s="57"/>
      <x:c r="F19" s="57"/>
      <x:c r="G19" s="57"/>
      <x:c r="H19" s="57"/>
    </x:row>
    <x:row r="21" ht="26" customHeight="1">
      <x:c r="A21" s="61" t="str">
        <x:v>SECURITY NOTE  |  Do not publish actual serial numbers, management endpoints, credentials or unredacted BMC exports. All example IPs are reserved documentation addresses.</x:v>
      </x:c>
      <x:c r="B21" s="61"/>
      <x:c r="C21" s="61"/>
      <x:c r="D21" s="61"/>
      <x:c r="E21" s="61"/>
      <x:c r="F21" s="61"/>
      <x:c r="G21" s="61"/>
      <x:c r="H21" s="61"/>
    </x:row>
    <x:row r="22" ht="26" customHeight="1">
      <x:c r="A22" s="61"/>
      <x:c r="B22" s="61"/>
      <x:c r="C22" s="61"/>
      <x:c r="D22" s="61"/>
      <x:c r="E22" s="61"/>
      <x:c r="F22" s="61"/>
      <x:c r="G22" s="61"/>
      <x:c r="H22" s="61"/>
    </x:row>
    <x:row r="24" ht="27" customHeight="1">
      <x:c r="A24" s="65" t="str">
        <x:v>Edit the Asset Register sheet. Dashboard counts update from rows 5–250. CSV is maintained separately for GitHub.</x:v>
      </x:c>
      <x:c r="B24" s="65"/>
      <x:c r="C24" s="65"/>
      <x:c r="D24" s="65"/>
      <x:c r="E24" s="65"/>
      <x:c r="F24" s="65"/>
      <x:c r="G24" s="65"/>
      <x:c r="H24" s="65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B10"/>
    <x:mergeCell ref="D10:E10"/>
    <x:mergeCell ref="G10:H10"/>
    <x:mergeCell ref="A19:H19"/>
    <x:mergeCell ref="A21:H22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27" hidden="0" customWidth="1"/>
    <x:col min="5" max="5" width="18" hidden="0" customWidth="1"/>
    <x:col min="6" max="6" width="12" hidden="0" customWidth="1"/>
    <x:col min="7" max="7" width="11" hidden="0" customWidth="1"/>
    <x:col min="8" max="8" width="11" hidden="0" customWidth="1"/>
    <x:col min="9" max="9" width="30" hidden="0" customWidth="1"/>
    <x:col min="10" max="10" width="12" hidden="0" customWidth="1"/>
    <x:col min="11" max="11" width="36" hidden="0" customWidth="1"/>
    <x:col min="12" max="12" width="33" hidden="0" customWidth="1"/>
    <x:col min="13" max="13" width="19" hidden="0" customWidth="1"/>
    <x:col min="14" max="14" width="17" hidden="0" customWidth="1"/>
    <x:col min="15" max="15" width="36" hidden="0" customWidth="1"/>
    <x:col min="16" max="16" width="19" hidden="0" customWidth="1"/>
    <x:col min="17" max="17" width="15" hidden="0" customWidth="1"/>
    <x:col min="18" max="18" width="16" hidden="0" customWidth="1"/>
    <x:col min="19" max="19" width="19" hidden="0" customWidth="1"/>
    <x:col min="20" max="20" width="15" hidden="0" customWidth="1"/>
    <x:col min="21" max="21" width="48" hidden="0" customWidth="1"/>
  </x:cols>
  <x:sheetData>
    <x:row r="1" ht="38" customHeight="1">
      <x:c r="A1" s="4" t="str">
        <x:v>HOMELAB  |  HARDWARE ASSET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5" customHeight="1">
      <x:c r="A2" s="10" t="str">
        <x:v>DEMONSTRATION DATA • Replace placeholder serials, firmware and management IPs with privately verified inventory.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4" ht="32" customHeight="1">
      <x:c r="A4" s="17" t="str">
        <x:v>Asset ID</x:v>
      </x:c>
      <x:c r="B4" s="17" t="str">
        <x:v>Hostname</x:v>
      </x:c>
      <x:c r="C4" s="17" t="str">
        <x:v>Type</x:v>
      </x:c>
      <x:c r="D4" s="17" t="str">
        <x:v>Vendor / Model</x:v>
      </x:c>
      <x:c r="E4" s="17" t="str">
        <x:v>Serial Number</x:v>
      </x:c>
      <x:c r="F4" s="17" t="str">
        <x:v>Rack</x:v>
      </x:c>
      <x:c r="G4" s="17" t="str">
        <x:v>Start U</x:v>
      </x:c>
      <x:c r="H4" s="17" t="str">
        <x:v>Height U</x:v>
      </x:c>
      <x:c r="I4" s="17" t="str">
        <x:v>CPU</x:v>
      </x:c>
      <x:c r="J4" s="17" t="str">
        <x:v>RAM (GB)</x:v>
      </x:c>
      <x:c r="K4" s="17" t="str">
        <x:v>Storage</x:v>
      </x:c>
      <x:c r="L4" s="17" t="str">
        <x:v>NIC / Ports</x:v>
      </x:c>
      <x:c r="M4" s="17" t="str">
        <x:v>Mgmt Interface</x:v>
      </x:c>
      <x:c r="N4" s="17" t="str">
        <x:v>Mgmt IP</x:v>
      </x:c>
      <x:c r="O4" s="17" t="str">
        <x:v>Firmware / BIOS</x:v>
      </x:c>
      <x:c r="P4" s="17" t="str">
        <x:v>OS / Hypervisor</x:v>
      </x:c>
      <x:c r="Q4" s="17" t="str">
        <x:v>Status</x:v>
      </x:c>
      <x:c r="R4" s="17" t="str">
        <x:v>Owner</x:v>
      </x:c>
      <x:c r="S4" s="17" t="str">
        <x:v>Last Verified</x:v>
      </x:c>
      <x:c r="T4" s="17" t="str">
        <x:v>Environment</x:v>
      </x:c>
      <x:c r="U4" s="17" t="str">
        <x:v>Notes</x:v>
      </x:c>
    </x:row>
    <x:row r="5" ht="32" customHeight="1">
      <x:c r="A5" s="26" t="str">
        <x:v>AS-001</x:v>
      </x:c>
      <x:c r="B5" s="26" t="str">
        <x:v>compute-01</x:v>
      </x:c>
      <x:c r="C5" s="26" t="str">
        <x:v>Server</x:v>
      </x:c>
      <x:c r="D5" s="26" t="str">
        <x:v>Dell PowerEdge R740</x:v>
      </x:c>
      <x:c r="E5" s="26" t="str">
        <x:v>DEMO-SN-001</x:v>
      </x:c>
      <x:c r="F5" s="26" t="str">
        <x:v>Rack-A</x:v>
      </x:c>
      <x:c r="G5" s="28" t="n">
        <x:v>4</x:v>
      </x:c>
      <x:c r="H5" s="28" t="n">
        <x:v>2</x:v>
      </x:c>
      <x:c r="I5" s="26" t="str">
        <x:v>2x Intel Xeon Silver 4210</x:v>
      </x:c>
      <x:c r="J5" s="28" t="n">
        <x:v>128</x:v>
      </x:c>
      <x:c r="K5" s="26" t="str">
        <x:v>2x 480GB SSD RAID1 + 4x 2TB HDD</x:v>
      </x:c>
      <x:c r="L5" s="26" t="str">
        <x:v>2x 10GbE + 2x 1GbE</x:v>
      </x:c>
      <x:c r="M5" s="26" t="str">
        <x:v>iDRAC9</x:v>
      </x:c>
      <x:c r="N5" s="26" t="str">
        <x:v>192.0.2.11</x:v>
      </x:c>
      <x:c r="O5" s="26" t="str">
        <x:v>BIOS DEMO-2.0 / iDRAC DEMO-7.0</x:v>
      </x:c>
      <x:c r="P5" s="26" t="str">
        <x:v>Proxmox VE</x:v>
      </x:c>
      <x:c r="Q5" s="26" t="str">
        <x:v>In Service</x:v>
      </x:c>
      <x:c r="R5" s="26" t="str">
        <x:v>Lab admin</x:v>
      </x:c>
      <x:c r="S5" s="26" t="str">
        <x:v>2026-10-08</x:v>
      </x:c>
      <x:c r="T5" s="26" t="str">
        <x:v>Lab</x:v>
      </x:c>
      <x:c r="U5" s="26" t="str">
        <x:v>SYNTHETIC example - not a discovered device</x:v>
      </x:c>
    </x:row>
    <x:row r="6" ht="32" customHeight="1">
      <x:c r="A6" s="24" t="str">
        <x:v>AS-002</x:v>
      </x:c>
      <x:c r="B6" s="24" t="str">
        <x:v>compute-02</x:v>
      </x:c>
      <x:c r="C6" s="24" t="str">
        <x:v>Server</x:v>
      </x:c>
      <x:c r="D6" s="24" t="str">
        <x:v>HPE ProLiant DL380 Gen10</x:v>
      </x:c>
      <x:c r="E6" s="24" t="str">
        <x:v>DEMO-SN-002</x:v>
      </x:c>
      <x:c r="F6" s="24" t="str">
        <x:v>Rack-A</x:v>
      </x:c>
      <x:c r="G6" s="29" t="n">
        <x:v>7</x:v>
      </x:c>
      <x:c r="H6" s="29" t="n">
        <x:v>2</x:v>
      </x:c>
      <x:c r="I6" s="24" t="str">
        <x:v>2x Intel Xeon Silver 4110</x:v>
      </x:c>
      <x:c r="J6" s="29" t="n">
        <x:v>96</x:v>
      </x:c>
      <x:c r="K6" s="24" t="str">
        <x:v>2x 960GB SSD RAID1</x:v>
      </x:c>
      <x:c r="L6" s="24" t="str">
        <x:v>4x 1GbE</x:v>
      </x:c>
      <x:c r="M6" s="24" t="str">
        <x:v>iLO5</x:v>
      </x:c>
      <x:c r="N6" s="24" t="str">
        <x:v>192.0.2.12</x:v>
      </x:c>
      <x:c r="O6" s="24" t="str">
        <x:v>BIOS DEMO-3.0 / iLO DEMO-2.8</x:v>
      </x:c>
      <x:c r="P6" s="24" t="str">
        <x:v>Ubuntu Server</x:v>
      </x:c>
      <x:c r="Q6" s="24" t="str">
        <x:v>Maintenance</x:v>
      </x:c>
      <x:c r="R6" s="24" t="str">
        <x:v>Lab admin</x:v>
      </x:c>
      <x:c r="S6" s="24" t="str">
        <x:v>2026-10-08</x:v>
      </x:c>
      <x:c r="T6" s="24" t="str">
        <x:v>Lab</x:v>
      </x:c>
      <x:c r="U6" s="24" t="str">
        <x:v>SYNTHETIC example - firmware review pending</x:v>
      </x:c>
    </x:row>
    <x:row r="7" ht="32" customHeight="1">
      <x:c r="A7" s="26" t="str">
        <x:v>AS-003</x:v>
      </x:c>
      <x:c r="B7" s="26" t="str">
        <x:v>storage-01</x:v>
      </x:c>
      <x:c r="C7" s="26" t="str">
        <x:v>NAS</x:v>
      </x:c>
      <x:c r="D7" s="26" t="str">
        <x:v>Synology RackStation RS1221+</x:v>
      </x:c>
      <x:c r="E7" s="26" t="str">
        <x:v>DEMO-SN-003</x:v>
      </x:c>
      <x:c r="F7" s="26" t="str">
        <x:v>Rack-A</x:v>
      </x:c>
      <x:c r="G7" s="28" t="n">
        <x:v>10</x:v>
      </x:c>
      <x:c r="H7" s="28" t="n">
        <x:v>2</x:v>
      </x:c>
      <x:c r="I7" s="26" t="str">
        <x:v>AMD Ryzen V1500B</x:v>
      </x:c>
      <x:c r="J7" s="28" t="n">
        <x:v>32</x:v>
      </x:c>
      <x:c r="K7" s="26" t="str">
        <x:v>4x 8TB HDD SHR + 2x 1TB SSD</x:v>
      </x:c>
      <x:c r="L7" s="26" t="str">
        <x:v>4x 1GbE</x:v>
      </x:c>
      <x:c r="M7" s="26" t="str">
        <x:v>DSM</x:v>
      </x:c>
      <x:c r="N7" s="26" t="str">
        <x:v>192.0.2.13</x:v>
      </x:c>
      <x:c r="O7" s="26" t="str">
        <x:v>DSM DEMO-7.2</x:v>
      </x:c>
      <x:c r="P7" s="26" t="str">
        <x:v>DSM</x:v>
      </x:c>
      <x:c r="Q7" s="26" t="str">
        <x:v>In Service</x:v>
      </x:c>
      <x:c r="R7" s="26" t="str">
        <x:v>Lab admin</x:v>
      </x:c>
      <x:c r="S7" s="26" t="str">
        <x:v>2026-10-08</x:v>
      </x:c>
      <x:c r="T7" s="26" t="str">
        <x:v>Lab</x:v>
      </x:c>
      <x:c r="U7" s="26" t="str">
        <x:v>SYNTHETIC example - verify storage layout on physical system</x:v>
      </x:c>
    </x:row>
    <x:row r="8" ht="32" customHeight="1">
      <x:c r="A8" s="24" t="str">
        <x:v>AS-004</x:v>
      </x:c>
      <x:c r="B8" s="24" t="str">
        <x:v>switch-01</x:v>
      </x:c>
      <x:c r="C8" s="24" t="str">
        <x:v>Switch</x:v>
      </x:c>
      <x:c r="D8" s="24" t="str">
        <x:v>Ubiquiti USW-Pro-24</x:v>
      </x:c>
      <x:c r="E8" s="24" t="str">
        <x:v>DEMO-SN-004</x:v>
      </x:c>
      <x:c r="F8" s="24" t="str">
        <x:v>Rack-A</x:v>
      </x:c>
      <x:c r="G8" s="29" t="n">
        <x:v>2</x:v>
      </x:c>
      <x:c r="H8" s="29" t="n">
        <x:v>1</x:v>
      </x:c>
      <x:c r="I8" s="24" t="str">
        <x:v>Embedded</x:v>
      </x:c>
      <x:c r="J8" s="29" t="n">
        <x:v>2</x:v>
      </x:c>
      <x:c r="K8" s="24" t="str">
        <x:v>N/A</x:v>
      </x:c>
      <x:c r="L8" s="24" t="str">
        <x:v>24x 1GbE + 2x 10GbE SFP+</x:v>
      </x:c>
      <x:c r="M8" s="24" t="str">
        <x:v>UniFi</x:v>
      </x:c>
      <x:c r="N8" s="24" t="str">
        <x:v>192.0.2.14</x:v>
      </x:c>
      <x:c r="O8" s="24" t="str">
        <x:v>Switch OS DEMO-7.0</x:v>
      </x:c>
      <x:c r="P8" s="24" t="str">
        <x:v>Embedded</x:v>
      </x:c>
      <x:c r="Q8" s="24" t="str">
        <x:v>In Service</x:v>
      </x:c>
      <x:c r="R8" s="24" t="str">
        <x:v>Lab admin</x:v>
      </x:c>
      <x:c r="S8" s="24" t="str">
        <x:v>2026-10-08</x:v>
      </x:c>
      <x:c r="T8" s="24" t="str">
        <x:v>Lab</x:v>
      </x:c>
      <x:c r="U8" s="24" t="str">
        <x:v>SYNTHETIC example - front panel ports</x:v>
      </x:c>
    </x:row>
    <x:row r="9" ht="32" customHeight="1">
      <x:c r="A9" s="26" t="str">
        <x:v>AS-005</x:v>
      </x:c>
      <x:c r="B9" s="26" t="str">
        <x:v>firewall-01</x:v>
      </x:c>
      <x:c r="C9" s="26" t="str">
        <x:v>Firewall</x:v>
      </x:c>
      <x:c r="D9" s="26" t="str">
        <x:v>Netgate 6100</x:v>
      </x:c>
      <x:c r="E9" s="26" t="str">
        <x:v>DEMO-SN-005</x:v>
      </x:c>
      <x:c r="F9" s="26" t="str">
        <x:v>Rack-A</x:v>
      </x:c>
      <x:c r="G9" s="28" t="n">
        <x:v>1</x:v>
      </x:c>
      <x:c r="H9" s="28" t="n">
        <x:v>1</x:v>
      </x:c>
      <x:c r="I9" s="26" t="str">
        <x:v>Intel Atom C3558</x:v>
      </x:c>
      <x:c r="J9" s="28" t="n">
        <x:v>8</x:v>
      </x:c>
      <x:c r="K9" s="26" t="str">
        <x:v>128GB SSD</x:v>
      </x:c>
      <x:c r="L9" s="26" t="str">
        <x:v>2x 10GbE SFP+ + 4x 2.5GbE</x:v>
      </x:c>
      <x:c r="M9" s="26" t="str">
        <x:v>Web GUI</x:v>
      </x:c>
      <x:c r="N9" s="26" t="str">
        <x:v>192.0.2.15</x:v>
      </x:c>
      <x:c r="O9" s="26" t="str">
        <x:v>pfSense Plus DEMO-24.0</x:v>
      </x:c>
      <x:c r="P9" s="26" t="str">
        <x:v>pfSense Plus</x:v>
      </x:c>
      <x:c r="Q9" s="26" t="str">
        <x:v>In Service</x:v>
      </x:c>
      <x:c r="R9" s="26" t="str">
        <x:v>Lab admin</x:v>
      </x:c>
      <x:c r="S9" s="26" t="str">
        <x:v>2026-10-08</x:v>
      </x:c>
      <x:c r="T9" s="26" t="str">
        <x:v>Lab</x:v>
      </x:c>
      <x:c r="U9" s="26" t="str">
        <x:v>SYNTHETIC example - placeholder firmware</x:v>
      </x:c>
    </x:row>
    <x:row r="10" ht="32" customHeight="1">
      <x:c r="A10" s="24" t="str">
        <x:v>AS-006</x:v>
      </x:c>
      <x:c r="B10" s="24" t="str">
        <x:v>ups-01</x:v>
      </x:c>
      <x:c r="C10" s="24" t="str">
        <x:v>UPS</x:v>
      </x:c>
      <x:c r="D10" s="24" t="str">
        <x:v>APC Smart-UPS 1500RM</x:v>
      </x:c>
      <x:c r="E10" s="24" t="str">
        <x:v>DEMO-SN-006</x:v>
      </x:c>
      <x:c r="F10" s="24" t="str">
        <x:v>Rack-A</x:v>
      </x:c>
      <x:c r="G10" s="29" t="n">
        <x:v>14</x:v>
      </x:c>
      <x:c r="H10" s="29" t="n">
        <x:v>2</x:v>
      </x:c>
      <x:c r="I10" s="24" t="str">
        <x:v>N/A</x:v>
      </x:c>
      <x:c r="J10" s="29" t="str">
        <x:v>N/A</x:v>
      </x:c>
      <x:c r="K10" s="24" t="str">
        <x:v>N/A</x:v>
      </x:c>
      <x:c r="L10" s="24" t="str">
        <x:v>1x Ethernet management card</x:v>
      </x:c>
      <x:c r="M10" s="24" t="str">
        <x:v>NMC</x:v>
      </x:c>
      <x:c r="N10" s="24" t="str">
        <x:v>192.0.2.16</x:v>
      </x:c>
      <x:c r="O10" s="24" t="str">
        <x:v>NMC FW DEMO-1.0</x:v>
      </x:c>
      <x:c r="P10" s="24" t="str">
        <x:v>Embedded</x:v>
      </x:c>
      <x:c r="Q10" s="24" t="str">
        <x:v>In Service</x:v>
      </x:c>
      <x:c r="R10" s="24" t="str">
        <x:v>Lab admin</x:v>
      </x:c>
      <x:c r="S10" s="24" t="str">
        <x:v>2026-10-08</x:v>
      </x:c>
      <x:c r="T10" s="24" t="str">
        <x:v>Lab</x:v>
      </x:c>
      <x:c r="U10" s="24" t="str">
        <x:v>SYNTHETIC example - no compute specs applicable</x:v>
      </x:c>
    </x:row>
    <x:row r="11" ht="32" customHeight="1">
      <x:c r="A11" s="26" t="str">
        <x:v>AS-007</x:v>
      </x:c>
      <x:c r="B11" s="26" t="str">
        <x:v>spare-01</x:v>
      </x:c>
      <x:c r="C11" s="26" t="str">
        <x:v>Server</x:v>
      </x:c>
      <x:c r="D11" s="26" t="str">
        <x:v>Dell PowerEdge R640</x:v>
      </x:c>
      <x:c r="E11" s="26" t="str">
        <x:v>DEMO-SN-007</x:v>
      </x:c>
      <x:c r="F11" s="26"/>
      <x:c r="G11" s="28"/>
      <x:c r="H11" s="28"/>
      <x:c r="I11" s="26" t="str">
        <x:v>1x Intel Xeon Silver 4114</x:v>
      </x:c>
      <x:c r="J11" s="28" t="n">
        <x:v>32</x:v>
      </x:c>
      <x:c r="K11" s="26" t="str">
        <x:v>2x 480GB SSD</x:v>
      </x:c>
      <x:c r="L11" s="26" t="str">
        <x:v>2x 1GbE</x:v>
      </x:c>
      <x:c r="M11" s="26" t="str">
        <x:v>iDRAC9</x:v>
      </x:c>
      <x:c r="N11" s="26"/>
      <x:c r="O11" s="26" t="str">
        <x:v>BIOS DEMO-2.1</x:v>
      </x:c>
      <x:c r="P11" s="26" t="str">
        <x:v>None</x:v>
      </x:c>
      <x:c r="Q11" s="26" t="str">
        <x:v>Spare</x:v>
      </x:c>
      <x:c r="R11" s="26" t="str">
        <x:v>Lab admin</x:v>
      </x:c>
      <x:c r="S11" s="26" t="str">
        <x:v>2026-10-08</x:v>
      </x:c>
      <x:c r="T11" s="26" t="str">
        <x:v>Lab</x:v>
      </x:c>
      <x:c r="U11" s="26" t="str">
        <x:v>SYNTHETIC example - stored off-rack; IP not assigned</x:v>
      </x:c>
    </x:row>
    <x:row r="12">
      <x:c r="G12" s="30"/>
      <x:c r="H12" s="30"/>
      <x:c r="J12" s="30"/>
    </x:row>
    <x:row r="13">
      <x:c r="G13" s="30"/>
      <x:c r="H13" s="30"/>
      <x:c r="J13" s="30"/>
    </x:row>
    <x:row r="14">
      <x:c r="G14" s="30"/>
      <x:c r="H14" s="30"/>
      <x:c r="J14" s="30"/>
    </x:row>
    <x:row r="15">
      <x:c r="G15" s="30"/>
      <x:c r="H15" s="30"/>
      <x:c r="J15" s="30"/>
    </x:row>
    <x:row r="16">
      <x:c r="G16" s="30"/>
      <x:c r="H16" s="30"/>
      <x:c r="J16" s="30"/>
    </x:row>
    <x:row r="17">
      <x:c r="G17" s="30"/>
      <x:c r="H17" s="30"/>
      <x:c r="J17" s="30"/>
    </x:row>
    <x:row r="18">
      <x:c r="G18" s="30"/>
      <x:c r="H18" s="30"/>
      <x:c r="J18" s="30"/>
    </x:row>
    <x:row r="19">
      <x:c r="G19" s="30"/>
      <x:c r="H19" s="30"/>
      <x:c r="J19" s="30"/>
    </x:row>
    <x:row r="20">
      <x:c r="G20" s="30"/>
      <x:c r="H20" s="30"/>
      <x:c r="J20" s="30"/>
    </x:row>
    <x:row r="21">
      <x:c r="G21" s="30"/>
      <x:c r="H21" s="30"/>
      <x:c r="J21" s="30"/>
    </x:row>
    <x:row r="22">
      <x:c r="G22" s="30"/>
      <x:c r="H22" s="30"/>
      <x:c r="J22" s="30"/>
    </x:row>
    <x:row r="23">
      <x:c r="G23" s="30"/>
      <x:c r="H23" s="30"/>
      <x:c r="J23" s="30"/>
    </x:row>
    <x:row r="24">
      <x:c r="G24" s="30"/>
      <x:c r="H24" s="30"/>
      <x:c r="J24" s="30"/>
    </x:row>
    <x:row r="25">
      <x:c r="G25" s="30"/>
      <x:c r="H25" s="30"/>
      <x:c r="J25" s="30"/>
    </x:row>
    <x:row r="26">
      <x:c r="G26" s="30"/>
      <x:c r="H26" s="30"/>
      <x:c r="J26" s="30"/>
    </x:row>
    <x:row r="27">
      <x:c r="G27" s="30"/>
      <x:c r="H27" s="30"/>
      <x:c r="J27" s="30"/>
    </x:row>
    <x:row r="28">
      <x:c r="G28" s="30"/>
      <x:c r="H28" s="30"/>
      <x:c r="J28" s="30"/>
    </x:row>
    <x:row r="29">
      <x:c r="G29" s="30"/>
      <x:c r="H29" s="30"/>
      <x:c r="J29" s="30"/>
    </x:row>
    <x:row r="30">
      <x:c r="G30" s="30"/>
      <x:c r="H30" s="30"/>
      <x:c r="J30" s="30"/>
    </x:row>
    <x:row r="31">
      <x:c r="G31" s="30"/>
      <x:c r="H31" s="30"/>
      <x:c r="J31" s="30"/>
    </x:row>
    <x:row r="32">
      <x:c r="G32" s="30"/>
      <x:c r="H32" s="30"/>
      <x:c r="J32" s="30"/>
    </x:row>
    <x:row r="33">
      <x:c r="G33" s="30"/>
      <x:c r="H33" s="30"/>
      <x:c r="J33" s="30"/>
    </x:row>
    <x:row r="34">
      <x:c r="G34" s="30"/>
      <x:c r="H34" s="30"/>
      <x:c r="J34" s="30"/>
    </x:row>
    <x:row r="35">
      <x:c r="G35" s="30"/>
      <x:c r="H35" s="30"/>
      <x:c r="J35" s="30"/>
    </x:row>
    <x:row r="36">
      <x:c r="G36" s="30"/>
      <x:c r="H36" s="30"/>
      <x:c r="J36" s="30"/>
    </x:row>
    <x:row r="37">
      <x:c r="G37" s="30"/>
      <x:c r="H37" s="30"/>
      <x:c r="J37" s="30"/>
    </x:row>
    <x:row r="38">
      <x:c r="G38" s="30"/>
      <x:c r="H38" s="30"/>
      <x:c r="J38" s="30"/>
    </x:row>
    <x:row r="39">
      <x:c r="G39" s="30"/>
      <x:c r="H39" s="30"/>
      <x:c r="J39" s="30"/>
    </x:row>
    <x:row r="40">
      <x:c r="G40" s="30"/>
      <x:c r="H40" s="30"/>
      <x:c r="J40" s="30"/>
    </x:row>
    <x:row r="41">
      <x:c r="G41" s="30"/>
      <x:c r="H41" s="30"/>
      <x:c r="J41" s="30"/>
    </x:row>
    <x:row r="42">
      <x:c r="G42" s="30"/>
      <x:c r="H42" s="30"/>
      <x:c r="J42" s="30"/>
    </x:row>
    <x:row r="43">
      <x:c r="G43" s="30"/>
      <x:c r="H43" s="30"/>
      <x:c r="J43" s="30"/>
    </x:row>
    <x:row r="44">
      <x:c r="G44" s="30"/>
      <x:c r="H44" s="30"/>
      <x:c r="J44" s="30"/>
    </x:row>
    <x:row r="45">
      <x:c r="G45" s="30"/>
      <x:c r="H45" s="30"/>
      <x:c r="J45" s="30"/>
    </x:row>
    <x:row r="46">
      <x:c r="G46" s="30"/>
      <x:c r="H46" s="30"/>
      <x:c r="J46" s="30"/>
    </x:row>
    <x:row r="47">
      <x:c r="G47" s="30"/>
      <x:c r="H47" s="30"/>
      <x:c r="J47" s="30"/>
    </x:row>
    <x:row r="48">
      <x:c r="G48" s="30"/>
      <x:c r="H48" s="30"/>
      <x:c r="J48" s="30"/>
    </x:row>
    <x:row r="49">
      <x:c r="G49" s="30"/>
      <x:c r="H49" s="30"/>
      <x:c r="J49" s="30"/>
    </x:row>
    <x:row r="50">
      <x:c r="G50" s="30"/>
      <x:c r="H50" s="30"/>
      <x:c r="J50" s="30"/>
    </x:row>
    <x:row r="51">
      <x:c r="G51" s="30"/>
      <x:c r="H51" s="30"/>
      <x:c r="J51" s="30"/>
    </x:row>
    <x:row r="52">
      <x:c r="G52" s="30"/>
      <x:c r="H52" s="30"/>
      <x:c r="J52" s="30"/>
    </x:row>
    <x:row r="53">
      <x:c r="G53" s="30"/>
      <x:c r="H53" s="30"/>
      <x:c r="J53" s="30"/>
    </x:row>
    <x:row r="54">
      <x:c r="G54" s="30"/>
      <x:c r="H54" s="30"/>
      <x:c r="J54" s="30"/>
    </x:row>
    <x:row r="55">
      <x:c r="G55" s="30"/>
      <x:c r="H55" s="30"/>
      <x:c r="J55" s="30"/>
    </x:row>
    <x:row r="56">
      <x:c r="G56" s="30"/>
      <x:c r="H56" s="30"/>
      <x:c r="J56" s="30"/>
    </x:row>
    <x:row r="57">
      <x:c r="G57" s="30"/>
      <x:c r="H57" s="30"/>
      <x:c r="J57" s="30"/>
    </x:row>
    <x:row r="58">
      <x:c r="G58" s="30"/>
      <x:c r="H58" s="30"/>
      <x:c r="J58" s="30"/>
    </x:row>
    <x:row r="59">
      <x:c r="G59" s="30"/>
      <x:c r="H59" s="30"/>
      <x:c r="J59" s="30"/>
    </x:row>
    <x:row r="60">
      <x:c r="G60" s="30"/>
      <x:c r="H60" s="30"/>
      <x:c r="J60" s="30"/>
    </x:row>
    <x:row r="61">
      <x:c r="G61" s="30"/>
      <x:c r="H61" s="30"/>
      <x:c r="J61" s="30"/>
    </x:row>
    <x:row r="62">
      <x:c r="G62" s="30"/>
      <x:c r="H62" s="30"/>
      <x:c r="J62" s="30"/>
    </x:row>
    <x:row r="63">
      <x:c r="G63" s="30"/>
      <x:c r="H63" s="30"/>
      <x:c r="J63" s="30"/>
    </x:row>
    <x:row r="64">
      <x:c r="G64" s="30"/>
      <x:c r="H64" s="30"/>
      <x:c r="J64" s="30"/>
    </x:row>
    <x:row r="65">
      <x:c r="G65" s="30"/>
      <x:c r="H65" s="30"/>
      <x:c r="J65" s="30"/>
    </x:row>
    <x:row r="66">
      <x:c r="G66" s="30"/>
      <x:c r="H66" s="30"/>
      <x:c r="J66" s="30"/>
    </x:row>
    <x:row r="67">
      <x:c r="G67" s="30"/>
      <x:c r="H67" s="30"/>
      <x:c r="J67" s="30"/>
    </x:row>
    <x:row r="68">
      <x:c r="G68" s="30"/>
      <x:c r="H68" s="30"/>
      <x:c r="J68" s="30"/>
    </x:row>
    <x:row r="69">
      <x:c r="G69" s="30"/>
      <x:c r="H69" s="30"/>
      <x:c r="J69" s="30"/>
    </x:row>
    <x:row r="70">
      <x:c r="G70" s="30"/>
      <x:c r="H70" s="30"/>
      <x:c r="J70" s="30"/>
    </x:row>
    <x:row r="71">
      <x:c r="G71" s="30"/>
      <x:c r="H71" s="30"/>
      <x:c r="J71" s="30"/>
    </x:row>
    <x:row r="72">
      <x:c r="G72" s="30"/>
      <x:c r="H72" s="30"/>
      <x:c r="J72" s="30"/>
    </x:row>
    <x:row r="73">
      <x:c r="G73" s="30"/>
      <x:c r="H73" s="30"/>
      <x:c r="J73" s="30"/>
    </x:row>
    <x:row r="74">
      <x:c r="G74" s="30"/>
      <x:c r="H74" s="30"/>
      <x:c r="J74" s="30"/>
    </x:row>
    <x:row r="75">
      <x:c r="G75" s="30"/>
      <x:c r="H75" s="30"/>
      <x:c r="J75" s="30"/>
    </x:row>
    <x:row r="76">
      <x:c r="G76" s="30"/>
      <x:c r="H76" s="30"/>
      <x:c r="J76" s="30"/>
    </x:row>
    <x:row r="77">
      <x:c r="G77" s="30"/>
      <x:c r="H77" s="30"/>
      <x:c r="J77" s="30"/>
    </x:row>
    <x:row r="78">
      <x:c r="G78" s="30"/>
      <x:c r="H78" s="30"/>
      <x:c r="J78" s="30"/>
    </x:row>
    <x:row r="79">
      <x:c r="G79" s="30"/>
      <x:c r="H79" s="30"/>
      <x:c r="J79" s="30"/>
    </x:row>
    <x:row r="80">
      <x:c r="G80" s="30"/>
      <x:c r="H80" s="30"/>
      <x:c r="J80" s="30"/>
    </x:row>
    <x:row r="81">
      <x:c r="G81" s="30"/>
      <x:c r="H81" s="30"/>
      <x:c r="J81" s="30"/>
    </x:row>
    <x:row r="82">
      <x:c r="G82" s="30"/>
      <x:c r="H82" s="30"/>
      <x:c r="J82" s="30"/>
    </x:row>
    <x:row r="83">
      <x:c r="G83" s="30"/>
      <x:c r="H83" s="30"/>
      <x:c r="J83" s="30"/>
    </x:row>
    <x:row r="84">
      <x:c r="G84" s="30"/>
      <x:c r="H84" s="30"/>
      <x:c r="J84" s="30"/>
    </x:row>
    <x:row r="85">
      <x:c r="G85" s="30"/>
      <x:c r="H85" s="30"/>
      <x:c r="J85" s="30"/>
    </x:row>
    <x:row r="86">
      <x:c r="G86" s="30"/>
      <x:c r="H86" s="30"/>
      <x:c r="J86" s="30"/>
    </x:row>
    <x:row r="87">
      <x:c r="G87" s="30"/>
      <x:c r="H87" s="30"/>
      <x:c r="J87" s="30"/>
    </x:row>
    <x:row r="88">
      <x:c r="G88" s="30"/>
      <x:c r="H88" s="30"/>
      <x:c r="J88" s="30"/>
    </x:row>
    <x:row r="89">
      <x:c r="G89" s="30"/>
      <x:c r="H89" s="30"/>
      <x:c r="J89" s="30"/>
    </x:row>
    <x:row r="90">
      <x:c r="G90" s="30"/>
      <x:c r="H90" s="30"/>
      <x:c r="J90" s="30"/>
    </x:row>
    <x:row r="91">
      <x:c r="G91" s="30"/>
      <x:c r="H91" s="30"/>
      <x:c r="J91" s="30"/>
    </x:row>
    <x:row r="92">
      <x:c r="G92" s="30"/>
      <x:c r="H92" s="30"/>
      <x:c r="J92" s="30"/>
    </x:row>
    <x:row r="93">
      <x:c r="G93" s="30"/>
      <x:c r="H93" s="30"/>
      <x:c r="J93" s="30"/>
    </x:row>
    <x:row r="94">
      <x:c r="G94" s="30"/>
      <x:c r="H94" s="30"/>
      <x:c r="J94" s="30"/>
    </x:row>
    <x:row r="95">
      <x:c r="G95" s="30"/>
      <x:c r="H95" s="30"/>
      <x:c r="J95" s="30"/>
    </x:row>
    <x:row r="96">
      <x:c r="G96" s="30"/>
      <x:c r="H96" s="30"/>
      <x:c r="J96" s="30"/>
    </x:row>
    <x:row r="97">
      <x:c r="G97" s="30"/>
      <x:c r="H97" s="30"/>
      <x:c r="J97" s="30"/>
    </x:row>
    <x:row r="98">
      <x:c r="G98" s="30"/>
      <x:c r="H98" s="30"/>
      <x:c r="J98" s="30"/>
    </x:row>
    <x:row r="99">
      <x:c r="G99" s="30"/>
      <x:c r="H99" s="30"/>
      <x:c r="J99" s="30"/>
    </x:row>
    <x:row r="100">
      <x:c r="G100" s="30"/>
      <x:c r="H100" s="30"/>
      <x:c r="J100" s="30"/>
    </x:row>
    <x:row r="101">
      <x:c r="G101" s="30"/>
      <x:c r="H101" s="30"/>
      <x:c r="J101" s="30"/>
    </x:row>
    <x:row r="102">
      <x:c r="G102" s="30"/>
      <x:c r="H102" s="30"/>
      <x:c r="J102" s="30"/>
    </x:row>
    <x:row r="103">
      <x:c r="G103" s="30"/>
      <x:c r="H103" s="30"/>
      <x:c r="J103" s="30"/>
    </x:row>
    <x:row r="104">
      <x:c r="G104" s="30"/>
      <x:c r="H104" s="30"/>
      <x:c r="J104" s="30"/>
    </x:row>
    <x:row r="105">
      <x:c r="G105" s="30"/>
      <x:c r="H105" s="30"/>
      <x:c r="J105" s="30"/>
    </x:row>
    <x:row r="106">
      <x:c r="G106" s="30"/>
      <x:c r="H106" s="30"/>
      <x:c r="J106" s="30"/>
    </x:row>
    <x:row r="107">
      <x:c r="G107" s="30"/>
      <x:c r="H107" s="30"/>
      <x:c r="J107" s="30"/>
    </x:row>
    <x:row r="108">
      <x:c r="G108" s="30"/>
      <x:c r="H108" s="30"/>
      <x:c r="J108" s="30"/>
    </x:row>
    <x:row r="109">
      <x:c r="G109" s="30"/>
      <x:c r="H109" s="30"/>
      <x:c r="J109" s="30"/>
    </x:row>
    <x:row r="110">
      <x:c r="G110" s="30"/>
      <x:c r="H110" s="30"/>
      <x:c r="J110" s="30"/>
    </x:row>
    <x:row r="111">
      <x:c r="G111" s="30"/>
      <x:c r="H111" s="30"/>
      <x:c r="J111" s="30"/>
    </x:row>
    <x:row r="112">
      <x:c r="G112" s="30"/>
      <x:c r="H112" s="30"/>
      <x:c r="J112" s="30"/>
    </x:row>
    <x:row r="113">
      <x:c r="G113" s="30"/>
      <x:c r="H113" s="30"/>
      <x:c r="J113" s="30"/>
    </x:row>
    <x:row r="114">
      <x:c r="G114" s="30"/>
      <x:c r="H114" s="30"/>
      <x:c r="J114" s="30"/>
    </x:row>
    <x:row r="115">
      <x:c r="G115" s="30"/>
      <x:c r="H115" s="30"/>
      <x:c r="J115" s="30"/>
    </x:row>
    <x:row r="116">
      <x:c r="G116" s="30"/>
      <x:c r="H116" s="30"/>
      <x:c r="J116" s="30"/>
    </x:row>
    <x:row r="117">
      <x:c r="G117" s="30"/>
      <x:c r="H117" s="30"/>
      <x:c r="J117" s="30"/>
    </x:row>
    <x:row r="118">
      <x:c r="G118" s="30"/>
      <x:c r="H118" s="30"/>
      <x:c r="J118" s="30"/>
    </x:row>
    <x:row r="119">
      <x:c r="G119" s="30"/>
      <x:c r="H119" s="30"/>
      <x:c r="J119" s="30"/>
    </x:row>
    <x:row r="120">
      <x:c r="G120" s="30"/>
      <x:c r="H120" s="30"/>
      <x:c r="J120" s="30"/>
    </x:row>
    <x:row r="121">
      <x:c r="G121" s="30"/>
      <x:c r="H121" s="30"/>
      <x:c r="J121" s="30"/>
    </x:row>
    <x:row r="122">
      <x:c r="G122" s="30"/>
      <x:c r="H122" s="30"/>
      <x:c r="J122" s="30"/>
    </x:row>
    <x:row r="123">
      <x:c r="G123" s="30"/>
      <x:c r="H123" s="30"/>
      <x:c r="J123" s="30"/>
    </x:row>
    <x:row r="124">
      <x:c r="G124" s="30"/>
      <x:c r="H124" s="30"/>
      <x:c r="J124" s="30"/>
    </x:row>
    <x:row r="125">
      <x:c r="G125" s="30"/>
      <x:c r="H125" s="30"/>
      <x:c r="J125" s="30"/>
    </x:row>
    <x:row r="126">
      <x:c r="G126" s="30"/>
      <x:c r="H126" s="30"/>
      <x:c r="J126" s="30"/>
    </x:row>
    <x:row r="127">
      <x:c r="G127" s="30"/>
      <x:c r="H127" s="30"/>
      <x:c r="J127" s="30"/>
    </x:row>
    <x:row r="128">
      <x:c r="G128" s="30"/>
      <x:c r="H128" s="30"/>
      <x:c r="J128" s="30"/>
    </x:row>
    <x:row r="129">
      <x:c r="G129" s="30"/>
      <x:c r="H129" s="30"/>
      <x:c r="J129" s="30"/>
    </x:row>
    <x:row r="130">
      <x:c r="G130" s="30"/>
      <x:c r="H130" s="30"/>
      <x:c r="J130" s="30"/>
    </x:row>
    <x:row r="131">
      <x:c r="G131" s="30"/>
      <x:c r="H131" s="30"/>
      <x:c r="J131" s="30"/>
    </x:row>
    <x:row r="132">
      <x:c r="G132" s="30"/>
      <x:c r="H132" s="30"/>
      <x:c r="J132" s="30"/>
    </x:row>
    <x:row r="133">
      <x:c r="G133" s="30"/>
      <x:c r="H133" s="30"/>
      <x:c r="J133" s="30"/>
    </x:row>
    <x:row r="134">
      <x:c r="G134" s="30"/>
      <x:c r="H134" s="30"/>
      <x:c r="J134" s="30"/>
    </x:row>
    <x:row r="135">
      <x:c r="G135" s="30"/>
      <x:c r="H135" s="30"/>
      <x:c r="J135" s="30"/>
    </x:row>
    <x:row r="136">
      <x:c r="G136" s="30"/>
      <x:c r="H136" s="30"/>
      <x:c r="J136" s="30"/>
    </x:row>
    <x:row r="137">
      <x:c r="G137" s="30"/>
      <x:c r="H137" s="30"/>
      <x:c r="J137" s="30"/>
    </x:row>
    <x:row r="138">
      <x:c r="G138" s="30"/>
      <x:c r="H138" s="30"/>
      <x:c r="J138" s="30"/>
    </x:row>
    <x:row r="139">
      <x:c r="G139" s="30"/>
      <x:c r="H139" s="30"/>
      <x:c r="J139" s="30"/>
    </x:row>
    <x:row r="140">
      <x:c r="G140" s="30"/>
      <x:c r="H140" s="30"/>
      <x:c r="J140" s="30"/>
    </x:row>
    <x:row r="141">
      <x:c r="G141" s="30"/>
      <x:c r="H141" s="30"/>
      <x:c r="J141" s="30"/>
    </x:row>
    <x:row r="142">
      <x:c r="G142" s="30"/>
      <x:c r="H142" s="30"/>
      <x:c r="J142" s="30"/>
    </x:row>
    <x:row r="143">
      <x:c r="G143" s="30"/>
      <x:c r="H143" s="30"/>
      <x:c r="J143" s="30"/>
    </x:row>
    <x:row r="144">
      <x:c r="G144" s="30"/>
      <x:c r="H144" s="30"/>
      <x:c r="J144" s="30"/>
    </x:row>
    <x:row r="145">
      <x:c r="G145" s="30"/>
      <x:c r="H145" s="30"/>
      <x:c r="J145" s="30"/>
    </x:row>
    <x:row r="146">
      <x:c r="G146" s="30"/>
      <x:c r="H146" s="30"/>
      <x:c r="J146" s="30"/>
    </x:row>
    <x:row r="147">
      <x:c r="G147" s="30"/>
      <x:c r="H147" s="30"/>
      <x:c r="J147" s="30"/>
    </x:row>
    <x:row r="148">
      <x:c r="G148" s="30"/>
      <x:c r="H148" s="30"/>
      <x:c r="J148" s="30"/>
    </x:row>
    <x:row r="149">
      <x:c r="G149" s="30"/>
      <x:c r="H149" s="30"/>
      <x:c r="J149" s="30"/>
    </x:row>
    <x:row r="150">
      <x:c r="G150" s="30"/>
      <x:c r="H150" s="30"/>
      <x:c r="J150" s="30"/>
    </x:row>
    <x:row r="151">
      <x:c r="G151" s="30"/>
      <x:c r="H151" s="30"/>
      <x:c r="J151" s="30"/>
    </x:row>
    <x:row r="152">
      <x:c r="G152" s="30"/>
      <x:c r="H152" s="30"/>
      <x:c r="J152" s="30"/>
    </x:row>
    <x:row r="153">
      <x:c r="G153" s="30"/>
      <x:c r="H153" s="30"/>
      <x:c r="J153" s="30"/>
    </x:row>
    <x:row r="154">
      <x:c r="G154" s="30"/>
      <x:c r="H154" s="30"/>
      <x:c r="J154" s="30"/>
    </x:row>
    <x:row r="155">
      <x:c r="G155" s="30"/>
      <x:c r="H155" s="30"/>
      <x:c r="J155" s="30"/>
    </x:row>
    <x:row r="156">
      <x:c r="G156" s="30"/>
      <x:c r="H156" s="30"/>
      <x:c r="J156" s="30"/>
    </x:row>
    <x:row r="157">
      <x:c r="G157" s="30"/>
      <x:c r="H157" s="30"/>
      <x:c r="J157" s="30"/>
    </x:row>
    <x:row r="158">
      <x:c r="G158" s="30"/>
      <x:c r="H158" s="30"/>
      <x:c r="J158" s="30"/>
    </x:row>
    <x:row r="159">
      <x:c r="G159" s="30"/>
      <x:c r="H159" s="30"/>
      <x:c r="J159" s="30"/>
    </x:row>
    <x:row r="160">
      <x:c r="G160" s="30"/>
      <x:c r="H160" s="30"/>
      <x:c r="J160" s="30"/>
    </x:row>
    <x:row r="161">
      <x:c r="G161" s="30"/>
      <x:c r="H161" s="30"/>
      <x:c r="J161" s="30"/>
    </x:row>
    <x:row r="162">
      <x:c r="G162" s="30"/>
      <x:c r="H162" s="30"/>
      <x:c r="J162" s="30"/>
    </x:row>
    <x:row r="163">
      <x:c r="G163" s="30"/>
      <x:c r="H163" s="30"/>
      <x:c r="J163" s="30"/>
    </x:row>
    <x:row r="164">
      <x:c r="G164" s="30"/>
      <x:c r="H164" s="30"/>
      <x:c r="J164" s="30"/>
    </x:row>
    <x:row r="165">
      <x:c r="G165" s="30"/>
      <x:c r="H165" s="30"/>
      <x:c r="J165" s="30"/>
    </x:row>
    <x:row r="166">
      <x:c r="G166" s="30"/>
      <x:c r="H166" s="30"/>
      <x:c r="J166" s="30"/>
    </x:row>
    <x:row r="167">
      <x:c r="G167" s="30"/>
      <x:c r="H167" s="30"/>
      <x:c r="J167" s="30"/>
    </x:row>
    <x:row r="168">
      <x:c r="G168" s="30"/>
      <x:c r="H168" s="30"/>
      <x:c r="J168" s="30"/>
    </x:row>
    <x:row r="169">
      <x:c r="G169" s="30"/>
      <x:c r="H169" s="30"/>
      <x:c r="J169" s="30"/>
    </x:row>
    <x:row r="170">
      <x:c r="G170" s="30"/>
      <x:c r="H170" s="30"/>
      <x:c r="J170" s="30"/>
    </x:row>
    <x:row r="171">
      <x:c r="G171" s="30"/>
      <x:c r="H171" s="30"/>
      <x:c r="J171" s="30"/>
    </x:row>
    <x:row r="172">
      <x:c r="G172" s="30"/>
      <x:c r="H172" s="30"/>
      <x:c r="J172" s="30"/>
    </x:row>
    <x:row r="173">
      <x:c r="G173" s="30"/>
      <x:c r="H173" s="30"/>
      <x:c r="J173" s="30"/>
    </x:row>
    <x:row r="174">
      <x:c r="G174" s="30"/>
      <x:c r="H174" s="30"/>
      <x:c r="J174" s="30"/>
    </x:row>
    <x:row r="175">
      <x:c r="G175" s="30"/>
      <x:c r="H175" s="30"/>
      <x:c r="J175" s="30"/>
    </x:row>
    <x:row r="176">
      <x:c r="G176" s="30"/>
      <x:c r="H176" s="30"/>
      <x:c r="J176" s="30"/>
    </x:row>
    <x:row r="177">
      <x:c r="G177" s="30"/>
      <x:c r="H177" s="30"/>
      <x:c r="J177" s="30"/>
    </x:row>
    <x:row r="178">
      <x:c r="G178" s="30"/>
      <x:c r="H178" s="30"/>
      <x:c r="J178" s="30"/>
    </x:row>
    <x:row r="179">
      <x:c r="G179" s="30"/>
      <x:c r="H179" s="30"/>
      <x:c r="J179" s="30"/>
    </x:row>
    <x:row r="180">
      <x:c r="G180" s="30"/>
      <x:c r="H180" s="30"/>
      <x:c r="J180" s="30"/>
    </x:row>
    <x:row r="181">
      <x:c r="G181" s="30"/>
      <x:c r="H181" s="30"/>
      <x:c r="J181" s="30"/>
    </x:row>
    <x:row r="182">
      <x:c r="G182" s="30"/>
      <x:c r="H182" s="30"/>
      <x:c r="J182" s="30"/>
    </x:row>
    <x:row r="183">
      <x:c r="G183" s="30"/>
      <x:c r="H183" s="30"/>
      <x:c r="J183" s="30"/>
    </x:row>
    <x:row r="184">
      <x:c r="G184" s="30"/>
      <x:c r="H184" s="30"/>
      <x:c r="J184" s="30"/>
    </x:row>
    <x:row r="185">
      <x:c r="G185" s="30"/>
      <x:c r="H185" s="30"/>
      <x:c r="J185" s="30"/>
    </x:row>
    <x:row r="186">
      <x:c r="G186" s="30"/>
      <x:c r="H186" s="30"/>
      <x:c r="J186" s="30"/>
    </x:row>
    <x:row r="187">
      <x:c r="G187" s="30"/>
      <x:c r="H187" s="30"/>
      <x:c r="J187" s="30"/>
    </x:row>
    <x:row r="188">
      <x:c r="G188" s="30"/>
      <x:c r="H188" s="30"/>
      <x:c r="J188" s="30"/>
    </x:row>
    <x:row r="189">
      <x:c r="G189" s="30"/>
      <x:c r="H189" s="30"/>
      <x:c r="J189" s="30"/>
    </x:row>
    <x:row r="190">
      <x:c r="G190" s="30"/>
      <x:c r="H190" s="30"/>
      <x:c r="J190" s="30"/>
    </x:row>
    <x:row r="191">
      <x:c r="G191" s="30"/>
      <x:c r="H191" s="30"/>
      <x:c r="J191" s="30"/>
    </x:row>
    <x:row r="192">
      <x:c r="G192" s="30"/>
      <x:c r="H192" s="30"/>
      <x:c r="J192" s="30"/>
    </x:row>
    <x:row r="193">
      <x:c r="G193" s="30"/>
      <x:c r="H193" s="30"/>
      <x:c r="J193" s="30"/>
    </x:row>
    <x:row r="194">
      <x:c r="G194" s="30"/>
      <x:c r="H194" s="30"/>
      <x:c r="J194" s="30"/>
    </x:row>
    <x:row r="195">
      <x:c r="G195" s="30"/>
      <x:c r="H195" s="30"/>
      <x:c r="J195" s="30"/>
    </x:row>
    <x:row r="196">
      <x:c r="G196" s="30"/>
      <x:c r="H196" s="30"/>
      <x:c r="J196" s="30"/>
    </x:row>
    <x:row r="197">
      <x:c r="G197" s="30"/>
      <x:c r="H197" s="30"/>
      <x:c r="J197" s="30"/>
    </x:row>
    <x:row r="198">
      <x:c r="G198" s="30"/>
      <x:c r="H198" s="30"/>
      <x:c r="J198" s="30"/>
    </x:row>
    <x:row r="199">
      <x:c r="G199" s="30"/>
      <x:c r="H199" s="30"/>
      <x:c r="J199" s="30"/>
    </x:row>
    <x:row r="200">
      <x:c r="G200" s="30"/>
      <x:c r="H200" s="30"/>
      <x:c r="J200" s="30"/>
    </x:row>
    <x:row r="201">
      <x:c r="G201" s="30"/>
      <x:c r="H201" s="30"/>
      <x:c r="J201" s="30"/>
    </x:row>
    <x:row r="202">
      <x:c r="G202" s="30"/>
      <x:c r="H202" s="30"/>
      <x:c r="J202" s="30"/>
    </x:row>
    <x:row r="203">
      <x:c r="G203" s="30"/>
      <x:c r="H203" s="30"/>
      <x:c r="J203" s="30"/>
    </x:row>
    <x:row r="204">
      <x:c r="G204" s="30"/>
      <x:c r="H204" s="30"/>
      <x:c r="J204" s="30"/>
    </x:row>
    <x:row r="205">
      <x:c r="G205" s="30"/>
      <x:c r="H205" s="30"/>
      <x:c r="J205" s="30"/>
    </x:row>
    <x:row r="206">
      <x:c r="G206" s="30"/>
      <x:c r="H206" s="30"/>
      <x:c r="J206" s="30"/>
    </x:row>
    <x:row r="207">
      <x:c r="G207" s="30"/>
      <x:c r="H207" s="30"/>
      <x:c r="J207" s="30"/>
    </x:row>
    <x:row r="208">
      <x:c r="G208" s="30"/>
      <x:c r="H208" s="30"/>
      <x:c r="J208" s="30"/>
    </x:row>
    <x:row r="209">
      <x:c r="G209" s="30"/>
      <x:c r="H209" s="30"/>
      <x:c r="J209" s="30"/>
    </x:row>
    <x:row r="210">
      <x:c r="G210" s="30"/>
      <x:c r="H210" s="30"/>
      <x:c r="J210" s="30"/>
    </x:row>
    <x:row r="211">
      <x:c r="G211" s="30"/>
      <x:c r="H211" s="30"/>
      <x:c r="J211" s="30"/>
    </x:row>
    <x:row r="212">
      <x:c r="G212" s="30"/>
      <x:c r="H212" s="30"/>
      <x:c r="J212" s="30"/>
    </x:row>
    <x:row r="213">
      <x:c r="G213" s="30"/>
      <x:c r="H213" s="30"/>
      <x:c r="J213" s="30"/>
    </x:row>
    <x:row r="214">
      <x:c r="G214" s="30"/>
      <x:c r="H214" s="30"/>
      <x:c r="J214" s="30"/>
    </x:row>
    <x:row r="215">
      <x:c r="G215" s="30"/>
      <x:c r="H215" s="30"/>
      <x:c r="J215" s="30"/>
    </x:row>
    <x:row r="216">
      <x:c r="G216" s="30"/>
      <x:c r="H216" s="30"/>
      <x:c r="J216" s="30"/>
    </x:row>
    <x:row r="217">
      <x:c r="G217" s="30"/>
      <x:c r="H217" s="30"/>
      <x:c r="J217" s="30"/>
    </x:row>
    <x:row r="218">
      <x:c r="G218" s="30"/>
      <x:c r="H218" s="30"/>
      <x:c r="J218" s="30"/>
    </x:row>
    <x:row r="219">
      <x:c r="G219" s="30"/>
      <x:c r="H219" s="30"/>
      <x:c r="J219" s="30"/>
    </x:row>
    <x:row r="220">
      <x:c r="G220" s="30"/>
      <x:c r="H220" s="30"/>
      <x:c r="J220" s="30"/>
    </x:row>
    <x:row r="221">
      <x:c r="G221" s="30"/>
      <x:c r="H221" s="30"/>
      <x:c r="J221" s="30"/>
    </x:row>
    <x:row r="222">
      <x:c r="G222" s="30"/>
      <x:c r="H222" s="30"/>
      <x:c r="J222" s="30"/>
    </x:row>
    <x:row r="223">
      <x:c r="G223" s="30"/>
      <x:c r="H223" s="30"/>
      <x:c r="J223" s="30"/>
    </x:row>
    <x:row r="224">
      <x:c r="G224" s="30"/>
      <x:c r="H224" s="30"/>
      <x:c r="J224" s="30"/>
    </x:row>
    <x:row r="225">
      <x:c r="G225" s="30"/>
      <x:c r="H225" s="30"/>
      <x:c r="J225" s="30"/>
    </x:row>
    <x:row r="226">
      <x:c r="G226" s="30"/>
      <x:c r="H226" s="30"/>
      <x:c r="J226" s="30"/>
    </x:row>
    <x:row r="227">
      <x:c r="G227" s="30"/>
      <x:c r="H227" s="30"/>
      <x:c r="J227" s="30"/>
    </x:row>
    <x:row r="228">
      <x:c r="G228" s="30"/>
      <x:c r="H228" s="30"/>
      <x:c r="J228" s="30"/>
    </x:row>
    <x:row r="229">
      <x:c r="G229" s="30"/>
      <x:c r="H229" s="30"/>
      <x:c r="J229" s="30"/>
    </x:row>
    <x:row r="230">
      <x:c r="G230" s="30"/>
      <x:c r="H230" s="30"/>
      <x:c r="J230" s="30"/>
    </x:row>
    <x:row r="231">
      <x:c r="G231" s="30"/>
      <x:c r="H231" s="30"/>
      <x:c r="J231" s="30"/>
    </x:row>
    <x:row r="232">
      <x:c r="G232" s="30"/>
      <x:c r="H232" s="30"/>
      <x:c r="J232" s="30"/>
    </x:row>
    <x:row r="233">
      <x:c r="G233" s="30"/>
      <x:c r="H233" s="30"/>
      <x:c r="J233" s="30"/>
    </x:row>
    <x:row r="234">
      <x:c r="G234" s="30"/>
      <x:c r="H234" s="30"/>
      <x:c r="J234" s="30"/>
    </x:row>
    <x:row r="235">
      <x:c r="G235" s="30"/>
      <x:c r="H235" s="30"/>
      <x:c r="J235" s="30"/>
    </x:row>
    <x:row r="236">
      <x:c r="G236" s="30"/>
      <x:c r="H236" s="30"/>
      <x:c r="J236" s="30"/>
    </x:row>
    <x:row r="237">
      <x:c r="G237" s="30"/>
      <x:c r="H237" s="30"/>
      <x:c r="J237" s="30"/>
    </x:row>
    <x:row r="238">
      <x:c r="G238" s="30"/>
      <x:c r="H238" s="30"/>
      <x:c r="J238" s="30"/>
    </x:row>
    <x:row r="239">
      <x:c r="G239" s="30"/>
      <x:c r="H239" s="30"/>
      <x:c r="J239" s="30"/>
    </x:row>
    <x:row r="240">
      <x:c r="G240" s="30"/>
      <x:c r="H240" s="30"/>
      <x:c r="J240" s="30"/>
    </x:row>
    <x:row r="241">
      <x:c r="G241" s="30"/>
      <x:c r="H241" s="30"/>
      <x:c r="J241" s="30"/>
    </x:row>
    <x:row r="242">
      <x:c r="G242" s="30"/>
      <x:c r="H242" s="30"/>
      <x:c r="J242" s="30"/>
    </x:row>
    <x:row r="243">
      <x:c r="G243" s="30"/>
      <x:c r="H243" s="30"/>
      <x:c r="J243" s="30"/>
    </x:row>
    <x:row r="244">
      <x:c r="G244" s="30"/>
      <x:c r="H244" s="30"/>
      <x:c r="J244" s="30"/>
    </x:row>
    <x:row r="245">
      <x:c r="G245" s="30"/>
      <x:c r="H245" s="30"/>
      <x:c r="J245" s="30"/>
    </x:row>
    <x:row r="246">
      <x:c r="G246" s="30"/>
      <x:c r="H246" s="30"/>
      <x:c r="J246" s="30"/>
    </x:row>
    <x:row r="247">
      <x:c r="G247" s="30"/>
      <x:c r="H247" s="30"/>
      <x:c r="J247" s="30"/>
    </x:row>
    <x:row r="248">
      <x:c r="G248" s="30"/>
      <x:c r="H248" s="30"/>
      <x:c r="J248" s="30"/>
    </x:row>
    <x:row r="249">
      <x:c r="G249" s="30"/>
      <x:c r="H249" s="30"/>
      <x:c r="J249" s="30"/>
    </x:row>
    <x:row r="250">
      <x:c r="G250" s="30"/>
      <x:c r="H250" s="30"/>
      <x:c r="J250" s="30"/>
    </x:row>
  </x:sheetData>
  <x:mergeCells>
    <x:mergeCell ref="A1:U1"/>
    <x:mergeCell ref="A2:U2"/>
  </x:mergeCells>
  <x:conditionalFormatting sqref="Q5:Q250">
    <x:cfRule type="expression" dxfId="0" priority="1">
      <x:formula>$Q5="In Service"</x:formula>
    </x:cfRule>
    <x:cfRule type="expression" dxfId="1" priority="2">
      <x:formula>$Q5="Maintenance"</x:formula>
    </x:cfRule>
    <x:cfRule type="expression" dxfId="2" priority="3">
      <x:formula>$Q5="Spare"</x:formula>
    </x:cfRule>
    <x:cfRule type="expression" dxfId="3" priority="4">
      <x:formula>$Q5="Retired"</x:formula>
    </x:cfRule>
  </x:conditionalFormatting>
  <x:dataValidations count="3">
    <x:dataValidation type="list" sqref="Q5:Q250">
      <x:formula1>"In Service,Maintenance,Spare,Retired"</x:formula1>
    </x:dataValidation>
    <x:dataValidation type="list" sqref="C5:C250">
      <x:formula1>"Server,NAS,Switch,Firewall,UPS,Storage,Other"</x:formula1>
    </x:dataValidation>
    <x:dataValidation type="list" sqref="T5:T250">
      <x:formula1>"Lab,Test,Production,Other"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47f7b8d9a9429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66" hidden="0" customWidth="1"/>
  </x:cols>
  <x:sheetData>
    <x:row r="1" ht="29" customHeight="1">
      <x:c r="A1" s="68" t="str">
        <x:v>FIELD GUIDE  |  HOW TO MAINTAIN THE INVENTORY</x:v>
      </x:c>
      <x:c r="B1" s="68"/>
      <x:c r="C1" s="68"/>
    </x:row>
    <x:row r="2" ht="29" customHeight="1">
      <x:c r="A2" s="68"/>
      <x:c r="B2" s="68"/>
      <x:c r="C2" s="68"/>
    </x:row>
    <x:row r="4" ht="29" customHeight="1">
      <x:c r="A4" s="51" t="str">
        <x:v>FIELD</x:v>
      </x:c>
      <x:c r="B4" s="51" t="str">
        <x:v>PURPOSE</x:v>
      </x:c>
      <x:c r="C4" s="51" t="str">
        <x:v>HOW TO RECORD / VALIDATE</x:v>
      </x:c>
    </x:row>
    <x:row r="5" ht="30" customHeight="1">
      <x:c r="A5" s="24" t="str">
        <x:v>Asset ID</x:v>
      </x:c>
      <x:c r="B5" s="24" t="str">
        <x:v>Unique asset key</x:v>
      </x:c>
      <x:c r="C5" s="24" t="str">
        <x:v>Stable ID, e.g. AS-001; never reused</x:v>
      </x:c>
    </x:row>
    <x:row r="6" ht="30" customHeight="1">
      <x:c r="A6" s="24" t="str">
        <x:v>Hostname</x:v>
      </x:c>
      <x:c r="B6" s="24" t="str">
        <x:v>System label</x:v>
      </x:c>
      <x:c r="C6" s="24" t="str">
        <x:v>Use management hostname or network label</x:v>
      </x:c>
    </x:row>
    <x:row r="7" ht="30" customHeight="1">
      <x:c r="A7" s="24" t="str">
        <x:v>Type</x:v>
      </x:c>
      <x:c r="B7" s="24" t="str">
        <x:v>Hardware category</x:v>
      </x:c>
      <x:c r="C7" s="24" t="str">
        <x:v>Server / NAS / Switch / Firewall / UPS / Other</x:v>
      </x:c>
    </x:row>
    <x:row r="8" ht="30" customHeight="1">
      <x:c r="A8" s="24" t="str">
        <x:v>Vendor / Model</x:v>
      </x:c>
      <x:c r="B8" s="24" t="str">
        <x:v>Hardware identity</x:v>
      </x:c>
      <x:c r="C8" s="24" t="str">
        <x:v>Brand and full manufacturer model</x:v>
      </x:c>
    </x:row>
    <x:row r="9" ht="30" customHeight="1">
      <x:c r="A9" s="24" t="str">
        <x:v>Serial Number</x:v>
      </x:c>
      <x:c r="B9" s="24" t="str">
        <x:v>Physical identifier</x:v>
      </x:c>
      <x:c r="C9" s="24" t="str">
        <x:v>Read from device label or BMC; anonymize publicly</x:v>
      </x:c>
    </x:row>
    <x:row r="10" ht="30" customHeight="1">
      <x:c r="A10" s="24" t="str">
        <x:v>Rack</x:v>
      </x:c>
      <x:c r="B10" s="24" t="str">
        <x:v>Rack placement</x:v>
      </x:c>
      <x:c r="C10" s="24" t="str">
        <x:v>Rack-A, Rack-B; blank if off-rack</x:v>
      </x:c>
    </x:row>
    <x:row r="11" ht="30" customHeight="1">
      <x:c r="A11" s="24" t="str">
        <x:v>Start U</x:v>
      </x:c>
      <x:c r="B11" s="24" t="str">
        <x:v>Lowest occupied rack unit</x:v>
      </x:c>
      <x:c r="C11" s="24" t="str">
        <x:v>Rack counted from bottom to top</x:v>
      </x:c>
    </x:row>
    <x:row r="12" ht="30" customHeight="1">
      <x:c r="A12" s="24" t="str">
        <x:v>Height U</x:v>
      </x:c>
      <x:c r="B12" s="24" t="str">
        <x:v>Rack unit height</x:v>
      </x:c>
      <x:c r="C12" s="24" t="str">
        <x:v>Positive integer; blank when off-rack</x:v>
      </x:c>
    </x:row>
    <x:row r="13" ht="30" customHeight="1">
      <x:c r="A13" s="24" t="str">
        <x:v>CPU</x:v>
      </x:c>
      <x:c r="B13" s="24" t="str">
        <x:v>Processor configuration</x:v>
      </x:c>
      <x:c r="C13" s="24" t="str">
        <x:v>CPU count and model; N/A if irrelevant</x:v>
      </x:c>
    </x:row>
    <x:row r="14" ht="30" customHeight="1">
      <x:c r="A14" s="24" t="str">
        <x:v>RAM (GB)</x:v>
      </x:c>
      <x:c r="B14" s="24" t="str">
        <x:v>Installed memory</x:v>
      </x:c>
      <x:c r="C14" s="24" t="str">
        <x:v>Numeric GB, or N/A</x:v>
      </x:c>
    </x:row>
    <x:row r="15" ht="30" customHeight="1">
      <x:c r="A15" s="24" t="str">
        <x:v>Storage</x:v>
      </x:c>
      <x:c r="B15" s="24" t="str">
        <x:v>Drive inventory</x:v>
      </x:c>
      <x:c r="C15" s="24" t="str">
        <x:v>Counts, sizes, array/RAID type</x:v>
      </x:c>
    </x:row>
    <x:row r="16" ht="30" customHeight="1">
      <x:c r="A16" s="24" t="str">
        <x:v>NIC / Ports</x:v>
      </x:c>
      <x:c r="B16" s="24" t="str">
        <x:v>Network capability</x:v>
      </x:c>
      <x:c r="C16" s="24" t="str">
        <x:v>Count, media, rated speeds</x:v>
      </x:c>
    </x:row>
    <x:row r="17" ht="30" customHeight="1">
      <x:c r="A17" s="24" t="str">
        <x:v>Mgmt Interface</x:v>
      </x:c>
      <x:c r="B17" s="24" t="str">
        <x:v>Out-of-band management</x:v>
      </x:c>
      <x:c r="C17" s="24" t="str">
        <x:v>iDRAC / iLO / IPMI / NMC / Web UI</x:v>
      </x:c>
    </x:row>
    <x:row r="18" ht="30" customHeight="1">
      <x:c r="A18" s="24" t="str">
        <x:v>Mgmt IP</x:v>
      </x:c>
      <x:c r="B18" s="24" t="str">
        <x:v>Management IP address</x:v>
      </x:c>
      <x:c r="C18" s="24" t="str">
        <x:v>Unique valid IPv4/IPv6; omit if unassigned</x:v>
      </x:c>
    </x:row>
    <x:row r="19" ht="30" customHeight="1">
      <x:c r="A19" s="24" t="str">
        <x:v>Firmware / BIOS</x:v>
      </x:c>
      <x:c r="B19" s="24" t="str">
        <x:v>Installed firmware baseline</x:v>
      </x:c>
      <x:c r="C19" s="24" t="str">
        <x:v>Version observed on device, not target version</x:v>
      </x:c>
    </x:row>
    <x:row r="20" ht="30" customHeight="1">
      <x:c r="A20" s="24" t="str">
        <x:v>OS / Hypervisor</x:v>
      </x:c>
      <x:c r="B20" s="24" t="str">
        <x:v>Software platform</x:v>
      </x:c>
      <x:c r="C20" s="24" t="str">
        <x:v>Proxmox, Ubuntu, DSM, network OS, etc.</x:v>
      </x:c>
    </x:row>
    <x:row r="21" ht="30" customHeight="1">
      <x:c r="A21" s="24" t="str">
        <x:v>Status</x:v>
      </x:c>
      <x:c r="B21" s="24" t="str">
        <x:v>Current lifecycle state</x:v>
      </x:c>
      <x:c r="C21" s="24" t="str">
        <x:v>In Service / Maintenance / Spare / Retired</x:v>
      </x:c>
    </x:row>
    <x:row r="22" ht="30" customHeight="1">
      <x:c r="A22" s="24" t="str">
        <x:v>Owner</x:v>
      </x:c>
      <x:c r="B22" s="24" t="str">
        <x:v>Responsible person</x:v>
      </x:c>
      <x:c r="C22" s="24" t="str">
        <x:v>Team or lab owner</x:v>
      </x:c>
    </x:row>
    <x:row r="23" ht="30" customHeight="1">
      <x:c r="A23" s="24" t="str">
        <x:v>Last Verified</x:v>
      </x:c>
      <x:c r="B23" s="24" t="str">
        <x:v>Freshness of check</x:v>
      </x:c>
      <x:c r="C23" s="24" t="str">
        <x:v>YYYY-MM-DD from last inspection</x:v>
      </x:c>
    </x:row>
    <x:row r="24" ht="30" customHeight="1">
      <x:c r="A24" s="24" t="str">
        <x:v>Environment</x:v>
      </x:c>
      <x:c r="B24" s="24" t="str">
        <x:v>Use classification</x:v>
      </x:c>
      <x:c r="C24" s="24" t="str">
        <x:v>Lab / Test / Production / Other</x:v>
      </x:c>
    </x:row>
    <x:row r="25" ht="30" customHeight="1">
      <x:c r="A25" s="24" t="str">
        <x:v>Notes</x:v>
      </x:c>
      <x:c r="B25" s="24" t="str">
        <x:v>Exceptions or follow-up</x:v>
      </x:c>
      <x:c r="C25" s="24" t="str">
        <x:v>Anomalies, tasks, configuration changes</x:v>
      </x:c>
    </x:row>
    <x:row r="28" ht="30" customHeight="1">
      <x:c r="A28" s="57" t="str">
        <x:v>COMPLETION CHECKLIST</x:v>
      </x:c>
      <x:c r="B28" s="57"/>
      <x:c r="C28" s="57"/>
    </x:row>
    <x:row r="29" ht="28" customHeight="1">
      <x:c r="A29" t="str">
        <x:v>1</x:v>
      </x:c>
      <x:c r="B29" t="str">
        <x:v>Identify equipment</x:v>
      </x:c>
      <x:c r="C29" t="str">
        <x:v>Record asset ID, vendor/model, serial number</x:v>
      </x:c>
    </x:row>
    <x:row r="30" ht="28" customHeight="1">
      <x:c r="A30" t="str">
        <x:v>2</x:v>
      </x:c>
      <x:c r="B30" t="str">
        <x:v>Survey rack</x:v>
      </x:c>
      <x:c r="C30" t="str">
        <x:v>Confirm rack, starting U and occupied height (no overlaps)</x:v>
      </x:c>
    </x:row>
    <x:row r="31" ht="28" customHeight="1">
      <x:c r="A31" t="str">
        <x:v>3</x:v>
      </x:c>
      <x:c r="B31" t="str">
        <x:v>Verify system</x:v>
      </x:c>
      <x:c r="C31" t="str">
        <x:v>Read CPU, RAM, storage and NICs from live hardware</x:v>
      </x:c>
    </x:row>
    <x:row r="32" ht="28" customHeight="1">
      <x:c r="A32" t="str">
        <x:v>4</x:v>
      </x:c>
      <x:c r="B32" t="str">
        <x:v>Check management</x:v>
      </x:c>
      <x:c r="C32" t="str">
        <x:v>Read BMC/interface IP and installed firmware version</x:v>
      </x:c>
    </x:row>
    <x:row r="33" ht="28" customHeight="1">
      <x:c r="A33" t="str">
        <x:v>5</x:v>
      </x:c>
      <x:c r="B33" t="str">
        <x:v>Audit &amp; validate</x:v>
      </x:c>
      <x:c r="C33" t="str">
        <x:v>Record status, owner, date; run Python validation script</x:v>
      </x:c>
    </x:row>
    <x:row r="34" ht="28" customHeight="1">
      <x:c r="A34" t="str">
        <x:v>6</x:v>
      </x:c>
      <x:c r="B34" t="str">
        <x:v>Protect privacy</x:v>
      </x:c>
      <x:c r="C34" t="str">
        <x:v>Keep real hardware identifiers in private register</x:v>
      </x:c>
    </x:row>
  </x:sheetData>
  <x:mergeCells>
    <x:mergeCell ref="A1:C2"/>
    <x:mergeCell ref="A28:C28"/>
  </x:mergeCells>
  <x:pageMargins left="0.7" right="0.7" top="0.75" bottom="0.75" header="0.3" footer="0.3"/>
</x:worksheet>
</file>